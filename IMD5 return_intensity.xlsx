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SC notes\MTech Project\data\IMD station data\filled data plots\"/>
    </mc:Choice>
  </mc:AlternateContent>
  <xr:revisionPtr revIDLastSave="0" documentId="13_ncr:1_{8B58942C-B587-4AED-B732-01B1E4B23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Sheet1!$C$2:$O$2</definedName>
    <definedName name="_xlchart.v1.1" hidden="1">Sheet1!$C$3:$O$3</definedName>
    <definedName name="_xlchart.v1.2" hidden="1">Sheet1!$C$4:$O$4</definedName>
    <definedName name="_xlchart.v1.3" hidden="1">Sheet1!$C$5:$O$5</definedName>
    <definedName name="_xlchart.v1.4" hidden="1">Sheet1!$C$6:$O$6</definedName>
    <definedName name="_xlchart.v1.5" hidden="1">Sheet1!$C$7:$O$7</definedName>
    <definedName name="_xlchart.v1.6" hidden="1">Sheet1!$C$9:$O$9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C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 Curve</a:t>
            </a:r>
            <a:r>
              <a:rPr lang="en-IN" baseline="0"/>
              <a:t> for IMD station 43295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 = 2 years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Sheet1!$C$2:$O$2</c:f>
              <c:numCache>
                <c:formatCode>General</c:formatCode>
                <c:ptCount val="13"/>
                <c:pt idx="0">
                  <c:v>63.276907630294097</c:v>
                </c:pt>
                <c:pt idx="1">
                  <c:v>58.704472669366098</c:v>
                </c:pt>
                <c:pt idx="2">
                  <c:v>51.607130888593659</c:v>
                </c:pt>
                <c:pt idx="3">
                  <c:v>47.860182460722633</c:v>
                </c:pt>
                <c:pt idx="4">
                  <c:v>45.367854227267969</c:v>
                </c:pt>
                <c:pt idx="5">
                  <c:v>18.82376699068007</c:v>
                </c:pt>
                <c:pt idx="6">
                  <c:v>10.39083850899447</c:v>
                </c:pt>
                <c:pt idx="7">
                  <c:v>7.2664135418558908</c:v>
                </c:pt>
                <c:pt idx="8">
                  <c:v>5.7485736525286457</c:v>
                </c:pt>
                <c:pt idx="9">
                  <c:v>4.738394363446174</c:v>
                </c:pt>
                <c:pt idx="10">
                  <c:v>4.0439331541719632</c:v>
                </c:pt>
                <c:pt idx="11">
                  <c:v>3.494443278327013</c:v>
                </c:pt>
                <c:pt idx="12">
                  <c:v>3.079257571159514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B-46DE-9569-87C5932281E6}"/>
            </c:ext>
          </c:extLst>
        </c:ser>
        <c:ser>
          <c:idx val="1"/>
          <c:order val="1"/>
          <c:tx>
            <c:v>T = 5 years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Sheet1!$C$3:$O$3</c:f>
              <c:numCache>
                <c:formatCode>General</c:formatCode>
                <c:ptCount val="13"/>
                <c:pt idx="0">
                  <c:v>79.807861586557038</c:v>
                </c:pt>
                <c:pt idx="1">
                  <c:v>74.040887975783264</c:v>
                </c:pt>
                <c:pt idx="2">
                  <c:v>65.089381151495957</c:v>
                </c:pt>
                <c:pt idx="3">
                  <c:v>60.363550628129268</c:v>
                </c:pt>
                <c:pt idx="4">
                  <c:v>57.220107085566028</c:v>
                </c:pt>
                <c:pt idx="5">
                  <c:v>25.118588285093541</c:v>
                </c:pt>
                <c:pt idx="6">
                  <c:v>14.164963433141819</c:v>
                </c:pt>
                <c:pt idx="7">
                  <c:v>9.866572164738697</c:v>
                </c:pt>
                <c:pt idx="8">
                  <c:v>7.7678863336380806</c:v>
                </c:pt>
                <c:pt idx="9">
                  <c:v>6.4245408538855298</c:v>
                </c:pt>
                <c:pt idx="10">
                  <c:v>5.4522191902878188</c:v>
                </c:pt>
                <c:pt idx="11">
                  <c:v>4.8117194755726347</c:v>
                </c:pt>
                <c:pt idx="12">
                  <c:v>4.1632440606943737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B-46DE-9569-87C5932281E6}"/>
            </c:ext>
          </c:extLst>
        </c:ser>
        <c:ser>
          <c:idx val="2"/>
          <c:order val="2"/>
          <c:tx>
            <c:v>T = 10 years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Sheet1!$C$4:$O$4</c:f>
              <c:numCache>
                <c:formatCode>General</c:formatCode>
                <c:ptCount val="13"/>
                <c:pt idx="0">
                  <c:v>88.454459559722267</c:v>
                </c:pt>
                <c:pt idx="1">
                  <c:v>82.062676546178906</c:v>
                </c:pt>
                <c:pt idx="2">
                  <c:v>72.141339441704076</c:v>
                </c:pt>
                <c:pt idx="3">
                  <c:v>66.903499752667074</c:v>
                </c:pt>
                <c:pt idx="4">
                  <c:v>63.419487097944277</c:v>
                </c:pt>
                <c:pt idx="5">
                  <c:v>29.072568339440782</c:v>
                </c:pt>
                <c:pt idx="6">
                  <c:v>16.623100988047501</c:v>
                </c:pt>
                <c:pt idx="7">
                  <c:v>11.56480100951547</c:v>
                </c:pt>
                <c:pt idx="8">
                  <c:v>9.0431668294912484</c:v>
                </c:pt>
                <c:pt idx="9">
                  <c:v>7.4563146935759672</c:v>
                </c:pt>
                <c:pt idx="10">
                  <c:v>6.3159531327228153</c:v>
                </c:pt>
                <c:pt idx="11">
                  <c:v>5.6464741439303072</c:v>
                </c:pt>
                <c:pt idx="12">
                  <c:v>4.8497092952661287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4B-46DE-9569-87C5932281E6}"/>
            </c:ext>
          </c:extLst>
        </c:ser>
        <c:ser>
          <c:idx val="3"/>
          <c:order val="3"/>
          <c:tx>
            <c:v>T = 25 years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Sheet1!$C$5:$O$5</c:f>
              <c:numCache>
                <c:formatCode>General</c:formatCode>
                <c:ptCount val="13"/>
                <c:pt idx="0">
                  <c:v>97.310100450263391</c:v>
                </c:pt>
                <c:pt idx="1">
                  <c:v>90.278402442044353</c:v>
                </c:pt>
                <c:pt idx="2">
                  <c:v>79.363788130421938</c:v>
                </c:pt>
                <c:pt idx="3">
                  <c:v>73.601560778408839</c:v>
                </c:pt>
                <c:pt idx="4">
                  <c:v>69.768745303772903</c:v>
                </c:pt>
                <c:pt idx="5">
                  <c:v>33.837434019353417</c:v>
                </c:pt>
                <c:pt idx="6">
                  <c:v>19.68339593705398</c:v>
                </c:pt>
                <c:pt idx="7">
                  <c:v>13.68433046229274</c:v>
                </c:pt>
                <c:pt idx="8">
                  <c:v>10.587464272245761</c:v>
                </c:pt>
                <c:pt idx="9">
                  <c:v>8.6708912492431107</c:v>
                </c:pt>
                <c:pt idx="10">
                  <c:v>7.3348138170381354</c:v>
                </c:pt>
                <c:pt idx="11">
                  <c:v>6.6604140434131622</c:v>
                </c:pt>
                <c:pt idx="12">
                  <c:v>5.6830335018409492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4B-46DE-9569-87C5932281E6}"/>
            </c:ext>
          </c:extLst>
        </c:ser>
        <c:ser>
          <c:idx val="4"/>
          <c:order val="4"/>
          <c:tx>
            <c:v>T = 50 years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Sheet1!$C$6:$O$6</c:f>
              <c:numCache>
                <c:formatCode>General</c:formatCode>
                <c:ptCount val="13"/>
                <c:pt idx="0">
                  <c:v>102.65634741983931</c:v>
                </c:pt>
                <c:pt idx="1">
                  <c:v>95.238325751553475</c:v>
                </c:pt>
                <c:pt idx="2">
                  <c:v>83.724059159051677</c:v>
                </c:pt>
                <c:pt idx="3">
                  <c:v>77.645253256855582</c:v>
                </c:pt>
                <c:pt idx="4">
                  <c:v>73.601861716411463</c:v>
                </c:pt>
                <c:pt idx="5">
                  <c:v>37.212940701100628</c:v>
                </c:pt>
                <c:pt idx="6">
                  <c:v>21.921283167035561</c:v>
                </c:pt>
                <c:pt idx="7">
                  <c:v>15.23804661668354</c:v>
                </c:pt>
                <c:pt idx="8">
                  <c:v>11.68666736249933</c:v>
                </c:pt>
                <c:pt idx="9">
                  <c:v>9.5118374001626815</c:v>
                </c:pt>
                <c:pt idx="10">
                  <c:v>8.0416732526226085</c:v>
                </c:pt>
                <c:pt idx="11">
                  <c:v>7.3842750129698356</c:v>
                </c:pt>
                <c:pt idx="12">
                  <c:v>6.2776066750732769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4B-46DE-9569-87C5932281E6}"/>
            </c:ext>
          </c:extLst>
        </c:ser>
        <c:ser>
          <c:idx val="5"/>
          <c:order val="5"/>
          <c:tx>
            <c:v>T = 100 years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Sheet1!$C$9:$O$9</c:f>
              <c:numCache>
                <c:formatCode>General</c:formatCode>
                <c:ptCount val="13"/>
                <c:pt idx="0">
                  <c:v>10.020000000000001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180</c:v>
                </c:pt>
                <c:pt idx="6">
                  <c:v>360</c:v>
                </c:pt>
                <c:pt idx="7">
                  <c:v>540</c:v>
                </c:pt>
                <c:pt idx="8">
                  <c:v>720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1440</c:v>
                </c:pt>
              </c:numCache>
            </c:numRef>
          </c:xVal>
          <c:yVal>
            <c:numRef>
              <c:f>Sheet1!$C$7:$O$7</c:f>
              <c:numCache>
                <c:formatCode>General</c:formatCode>
                <c:ptCount val="13"/>
                <c:pt idx="0">
                  <c:v>107.1155519961227</c:v>
                </c:pt>
                <c:pt idx="1">
                  <c:v>99.375304990567599</c:v>
                </c:pt>
                <c:pt idx="2">
                  <c:v>87.360879649266323</c:v>
                </c:pt>
                <c:pt idx="3">
                  <c:v>81.018021501118483</c:v>
                </c:pt>
                <c:pt idx="4">
                  <c:v>76.798992403776737</c:v>
                </c:pt>
                <c:pt idx="5">
                  <c:v>40.435040526756211</c:v>
                </c:pt>
                <c:pt idx="6">
                  <c:v>24.115710584794741</c:v>
                </c:pt>
                <c:pt idx="7">
                  <c:v>16.764738608938561</c:v>
                </c:pt>
                <c:pt idx="8">
                  <c:v>12.74013545218118</c:v>
                </c:pt>
                <c:pt idx="9">
                  <c:v>10.29915816563625</c:v>
                </c:pt>
                <c:pt idx="10">
                  <c:v>8.7045864890141651</c:v>
                </c:pt>
                <c:pt idx="11">
                  <c:v>8.0797736955829826</c:v>
                </c:pt>
                <c:pt idx="12">
                  <c:v>6.8486029951959422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4B-46DE-9569-87C593228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428175"/>
        <c:axId val="855423599"/>
      </c:scatterChart>
      <c:valAx>
        <c:axId val="85542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</a:t>
                </a:r>
                <a:r>
                  <a:rPr lang="en-IN" baseline="0"/>
                  <a:t> in minutes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23599"/>
        <c:crosses val="autoZero"/>
        <c:crossBetween val="midCat"/>
      </c:valAx>
      <c:valAx>
        <c:axId val="8554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Intensity</a:t>
                </a:r>
                <a:r>
                  <a:rPr lang="en-IN" baseline="0"/>
                  <a:t> in mm/hr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28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11</xdr:row>
      <xdr:rowOff>38100</xdr:rowOff>
    </xdr:from>
    <xdr:to>
      <xdr:col>18</xdr:col>
      <xdr:colOff>281940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AA0D4-7F13-99E3-D7DC-B6A234D8B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A7" workbookViewId="0">
      <selection activeCell="C2" activeCellId="1" sqref="C9:O9 C2:O2"/>
    </sheetView>
  </sheetViews>
  <sheetFormatPr defaultRowHeight="14.4" x14ac:dyDescent="0.3"/>
  <sheetData>
    <row r="1" spans="1:15" x14ac:dyDescent="0.3">
      <c r="B1" s="1"/>
      <c r="C1" s="1">
        <v>0.16700000000000001</v>
      </c>
      <c r="D1" s="1">
        <v>0.25</v>
      </c>
      <c r="E1" s="1">
        <v>0.5</v>
      </c>
      <c r="F1" s="1">
        <v>0.75</v>
      </c>
      <c r="G1" s="1">
        <v>1</v>
      </c>
      <c r="H1" s="1">
        <v>3</v>
      </c>
      <c r="I1" s="1">
        <v>6</v>
      </c>
      <c r="J1" s="1">
        <v>9</v>
      </c>
      <c r="K1" s="1">
        <v>12</v>
      </c>
      <c r="L1" s="1">
        <v>15</v>
      </c>
      <c r="M1" s="1">
        <v>18</v>
      </c>
      <c r="N1" s="1">
        <v>21</v>
      </c>
      <c r="O1" s="1">
        <v>24</v>
      </c>
    </row>
    <row r="2" spans="1:15" x14ac:dyDescent="0.3">
      <c r="A2" s="1">
        <v>2</v>
      </c>
      <c r="B2">
        <v>0</v>
      </c>
      <c r="C2">
        <v>63.276907630294097</v>
      </c>
      <c r="D2">
        <v>58.704472669366098</v>
      </c>
      <c r="E2">
        <v>51.607130888593659</v>
      </c>
      <c r="F2">
        <v>47.860182460722633</v>
      </c>
      <c r="G2">
        <v>45.367854227267969</v>
      </c>
      <c r="H2">
        <v>18.82376699068007</v>
      </c>
      <c r="I2">
        <v>10.39083850899447</v>
      </c>
      <c r="J2">
        <v>7.2664135418558908</v>
      </c>
      <c r="K2">
        <v>5.7485736525286457</v>
      </c>
      <c r="L2">
        <v>4.738394363446174</v>
      </c>
      <c r="M2">
        <v>4.0439331541719632</v>
      </c>
      <c r="N2">
        <v>3.494443278327013</v>
      </c>
      <c r="O2">
        <v>3.079257571159514</v>
      </c>
    </row>
    <row r="3" spans="1:15" x14ac:dyDescent="0.3">
      <c r="A3" s="1">
        <v>5</v>
      </c>
      <c r="B3">
        <v>0</v>
      </c>
      <c r="C3">
        <v>79.807861586557038</v>
      </c>
      <c r="D3">
        <v>74.040887975783264</v>
      </c>
      <c r="E3">
        <v>65.089381151495957</v>
      </c>
      <c r="F3">
        <v>60.363550628129268</v>
      </c>
      <c r="G3">
        <v>57.220107085566028</v>
      </c>
      <c r="H3">
        <v>25.118588285093541</v>
      </c>
      <c r="I3">
        <v>14.164963433141819</v>
      </c>
      <c r="J3">
        <v>9.866572164738697</v>
      </c>
      <c r="K3">
        <v>7.7678863336380806</v>
      </c>
      <c r="L3">
        <v>6.4245408538855298</v>
      </c>
      <c r="M3">
        <v>5.4522191902878188</v>
      </c>
      <c r="N3">
        <v>4.8117194755726347</v>
      </c>
      <c r="O3">
        <v>4.1632440606943737</v>
      </c>
    </row>
    <row r="4" spans="1:15" x14ac:dyDescent="0.3">
      <c r="A4" s="1">
        <v>10</v>
      </c>
      <c r="B4">
        <v>0</v>
      </c>
      <c r="C4">
        <v>88.454459559722267</v>
      </c>
      <c r="D4">
        <v>82.062676546178906</v>
      </c>
      <c r="E4">
        <v>72.141339441704076</v>
      </c>
      <c r="F4">
        <v>66.903499752667074</v>
      </c>
      <c r="G4">
        <v>63.419487097944277</v>
      </c>
      <c r="H4">
        <v>29.072568339440782</v>
      </c>
      <c r="I4">
        <v>16.623100988047501</v>
      </c>
      <c r="J4">
        <v>11.56480100951547</v>
      </c>
      <c r="K4">
        <v>9.0431668294912484</v>
      </c>
      <c r="L4">
        <v>7.4563146935759672</v>
      </c>
      <c r="M4">
        <v>6.3159531327228153</v>
      </c>
      <c r="N4">
        <v>5.6464741439303072</v>
      </c>
      <c r="O4">
        <v>4.8497092952661287</v>
      </c>
    </row>
    <row r="5" spans="1:15" x14ac:dyDescent="0.3">
      <c r="A5" s="1">
        <v>25</v>
      </c>
      <c r="B5">
        <v>0</v>
      </c>
      <c r="C5">
        <v>97.310100450263391</v>
      </c>
      <c r="D5">
        <v>90.278402442044353</v>
      </c>
      <c r="E5">
        <v>79.363788130421938</v>
      </c>
      <c r="F5">
        <v>73.601560778408839</v>
      </c>
      <c r="G5">
        <v>69.768745303772903</v>
      </c>
      <c r="H5">
        <v>33.837434019353417</v>
      </c>
      <c r="I5">
        <v>19.68339593705398</v>
      </c>
      <c r="J5">
        <v>13.68433046229274</v>
      </c>
      <c r="K5">
        <v>10.587464272245761</v>
      </c>
      <c r="L5">
        <v>8.6708912492431107</v>
      </c>
      <c r="M5">
        <v>7.3348138170381354</v>
      </c>
      <c r="N5">
        <v>6.6604140434131622</v>
      </c>
      <c r="O5">
        <v>5.6830335018409492</v>
      </c>
    </row>
    <row r="6" spans="1:15" x14ac:dyDescent="0.3">
      <c r="A6" s="1">
        <v>50</v>
      </c>
      <c r="B6">
        <v>0</v>
      </c>
      <c r="C6">
        <v>102.65634741983931</v>
      </c>
      <c r="D6">
        <v>95.238325751553475</v>
      </c>
      <c r="E6">
        <v>83.724059159051677</v>
      </c>
      <c r="F6">
        <v>77.645253256855582</v>
      </c>
      <c r="G6">
        <v>73.601861716411463</v>
      </c>
      <c r="H6">
        <v>37.212940701100628</v>
      </c>
      <c r="I6">
        <v>21.921283167035561</v>
      </c>
      <c r="J6">
        <v>15.23804661668354</v>
      </c>
      <c r="K6">
        <v>11.68666736249933</v>
      </c>
      <c r="L6">
        <v>9.5118374001626815</v>
      </c>
      <c r="M6">
        <v>8.0416732526226085</v>
      </c>
      <c r="N6">
        <v>7.3842750129698356</v>
      </c>
      <c r="O6">
        <v>6.2776066750732769</v>
      </c>
    </row>
    <row r="7" spans="1:15" x14ac:dyDescent="0.3">
      <c r="A7" s="1">
        <v>100</v>
      </c>
      <c r="B7">
        <v>0</v>
      </c>
      <c r="C7">
        <v>107.1155519961227</v>
      </c>
      <c r="D7">
        <v>99.375304990567599</v>
      </c>
      <c r="E7">
        <v>87.360879649266323</v>
      </c>
      <c r="F7">
        <v>81.018021501118483</v>
      </c>
      <c r="G7">
        <v>76.798992403776737</v>
      </c>
      <c r="H7">
        <v>40.435040526756211</v>
      </c>
      <c r="I7">
        <v>24.115710584794741</v>
      </c>
      <c r="J7">
        <v>16.764738608938561</v>
      </c>
      <c r="K7">
        <v>12.74013545218118</v>
      </c>
      <c r="L7">
        <v>10.29915816563625</v>
      </c>
      <c r="M7">
        <v>8.7045864890141651</v>
      </c>
      <c r="N7">
        <v>8.0797736955829826</v>
      </c>
      <c r="O7">
        <v>6.8486029951959422</v>
      </c>
    </row>
    <row r="9" spans="1:15" x14ac:dyDescent="0.3">
      <c r="C9">
        <f>C1*60</f>
        <v>10.020000000000001</v>
      </c>
      <c r="D9">
        <f t="shared" ref="D9:O9" si="0">D1*60</f>
        <v>15</v>
      </c>
      <c r="E9">
        <f t="shared" si="0"/>
        <v>30</v>
      </c>
      <c r="F9">
        <f t="shared" si="0"/>
        <v>45</v>
      </c>
      <c r="G9">
        <f t="shared" si="0"/>
        <v>60</v>
      </c>
      <c r="H9">
        <f t="shared" si="0"/>
        <v>180</v>
      </c>
      <c r="I9">
        <f t="shared" si="0"/>
        <v>360</v>
      </c>
      <c r="J9">
        <f t="shared" si="0"/>
        <v>540</v>
      </c>
      <c r="K9">
        <f t="shared" si="0"/>
        <v>720</v>
      </c>
      <c r="L9">
        <f t="shared" si="0"/>
        <v>900</v>
      </c>
      <c r="M9">
        <f t="shared" si="0"/>
        <v>1080</v>
      </c>
      <c r="N9">
        <f t="shared" si="0"/>
        <v>1260</v>
      </c>
      <c r="O9">
        <f t="shared" si="0"/>
        <v>1440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harini vemuri</cp:lastModifiedBy>
  <dcterms:created xsi:type="dcterms:W3CDTF">2023-01-03T08:50:35Z</dcterms:created>
  <dcterms:modified xsi:type="dcterms:W3CDTF">2023-01-03T09:09:00Z</dcterms:modified>
</cp:coreProperties>
</file>